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 showInkAnnotation="0"/>
  <mc:AlternateContent xmlns:mc="http://schemas.openxmlformats.org/markup-compatibility/2006">
    <mc:Choice Requires="x15">
      <x15ac:absPath xmlns:x15ac="http://schemas.microsoft.com/office/spreadsheetml/2010/11/ac" url="D:\working\waccache\AK1PEPF000001DA\EXCELCNV\819f6e7f-3dce-430e-967b-f46ee3322f11\"/>
    </mc:Choice>
  </mc:AlternateContent>
  <xr:revisionPtr revIDLastSave="438" documentId="8_{06C2ACF9-E536-43AE-A8C7-FD3F24C1E630}" xr6:coauthVersionLast="47" xr6:coauthVersionMax="47" xr10:uidLastSave="{A9A23D3F-740E-48DF-89C1-9FB90C4D82E2}"/>
  <bookViews>
    <workbookView xWindow="-60" yWindow="-60" windowWidth="15480" windowHeight="11640" firstSheet="3" xr2:uid="{5644704E-F19E-4DDC-9255-837F46D4E6AF}"/>
  </bookViews>
  <sheets>
    <sheet name="Frances" sheetId="4" r:id="rId1"/>
    <sheet name="Amarsh" sheetId="2" r:id="rId2"/>
    <sheet name="Bowang" sheetId="3" r:id="rId3"/>
    <sheet name="Team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" i="3" l="1"/>
  <c r="D16" i="5" s="1" a="1"/>
  <c r="D16" i="5" s="1"/>
  <c r="O12" i="3"/>
  <c r="D15" i="5" s="1" a="1"/>
  <c r="D15" i="5" s="1"/>
  <c r="N12" i="3"/>
  <c r="D14" i="5" s="1" a="1"/>
  <c r="D14" i="5" s="1"/>
  <c r="M12" i="3"/>
  <c r="D13" i="5" s="1" a="1"/>
  <c r="D13" i="5" s="1"/>
  <c r="L12" i="3"/>
  <c r="D12" i="5" s="1" a="1"/>
  <c r="D12" i="5" s="1"/>
  <c r="K12" i="3"/>
  <c r="D11" i="5" s="1" a="1"/>
  <c r="D11" i="5" s="1"/>
  <c r="J12" i="3"/>
  <c r="D10" i="5" s="1" a="1"/>
  <c r="D10" i="5" s="1"/>
  <c r="I12" i="3"/>
  <c r="D9" i="5" s="1" a="1"/>
  <c r="D9" i="5" s="1"/>
  <c r="H12" i="3"/>
  <c r="D8" i="5" s="1" a="1"/>
  <c r="D8" i="5" s="1"/>
  <c r="G12" i="3"/>
  <c r="D7" i="5" s="1" a="1"/>
  <c r="D7" i="5" s="1"/>
  <c r="F12" i="3"/>
  <c r="D6" i="5" s="1" a="1"/>
  <c r="D6" i="5" s="1"/>
  <c r="E12" i="3"/>
  <c r="D5" i="5" s="1" a="1"/>
  <c r="D5" i="5" s="1"/>
  <c r="D12" i="3"/>
  <c r="D4" i="5" s="1" a="1"/>
  <c r="D4" i="5" s="1"/>
  <c r="C12" i="3"/>
  <c r="D3" i="5" a="1"/>
  <c r="D3" i="5"/>
  <c r="B12" i="3"/>
  <c r="D2" i="5" a="1"/>
  <c r="D2" i="5"/>
  <c r="O12" i="2"/>
  <c r="C15" i="5" s="1" a="1"/>
  <c r="C15" i="5" s="1"/>
  <c r="N12" i="2"/>
  <c r="C14" i="5" s="1" a="1"/>
  <c r="C14" i="5" s="1"/>
  <c r="M12" i="2"/>
  <c r="C13" i="5" s="1" a="1"/>
  <c r="C13" i="5" s="1"/>
  <c r="L12" i="2"/>
  <c r="C12" i="5" s="1" a="1"/>
  <c r="C12" i="5" s="1"/>
  <c r="K12" i="2"/>
  <c r="C11" i="5" s="1" a="1"/>
  <c r="C11" i="5" s="1"/>
  <c r="J12" i="2"/>
  <c r="C10" i="5" s="1" a="1"/>
  <c r="C10" i="5" s="1"/>
  <c r="I12" i="2"/>
  <c r="C9" i="5" s="1" a="1"/>
  <c r="C9" i="5" s="1"/>
  <c r="H12" i="2"/>
  <c r="C8" i="5" s="1" a="1"/>
  <c r="C8" i="5" s="1"/>
  <c r="G12" i="2"/>
  <c r="C7" i="5" s="1" a="1"/>
  <c r="C7" i="5" s="1"/>
  <c r="F12" i="2"/>
  <c r="C6" i="5" s="1" a="1"/>
  <c r="C6" i="5" s="1"/>
  <c r="E12" i="2"/>
  <c r="D12" i="2"/>
  <c r="C4" i="5" s="1" a="1"/>
  <c r="C4" i="5" s="1"/>
  <c r="C12" i="2"/>
  <c r="C3" i="5" s="1" a="1"/>
  <c r="C3" i="5" s="1"/>
  <c r="B12" i="2"/>
  <c r="C2" i="5" a="1"/>
  <c r="C2" i="5"/>
  <c r="P12" i="4"/>
  <c r="O12" i="4"/>
  <c r="B15" i="5" a="1"/>
  <c r="B15" i="5"/>
  <c r="N12" i="4"/>
  <c r="M12" i="4"/>
  <c r="B13" i="5" a="1"/>
  <c r="B13" i="5"/>
  <c r="L12" i="4"/>
  <c r="B12" i="5" a="1"/>
  <c r="B12" i="5"/>
  <c r="K12" i="4"/>
  <c r="J12" i="4"/>
  <c r="I12" i="4"/>
  <c r="B9" i="5" a="1"/>
  <c r="B9" i="5"/>
  <c r="H12" i="4"/>
  <c r="G12" i="4"/>
  <c r="B7" i="5" a="1"/>
  <c r="B7" i="5"/>
  <c r="F12" i="4"/>
  <c r="E12" i="4"/>
  <c r="B5" i="5" a="1"/>
  <c r="B5" i="5"/>
  <c r="D12" i="4"/>
  <c r="B4" i="5" a="1"/>
  <c r="B4" i="5"/>
  <c r="C12" i="4"/>
  <c r="B3" i="5" a="1"/>
  <c r="B3" i="5"/>
  <c r="B6" i="5" a="1"/>
  <c r="B6" i="5"/>
  <c r="B8" i="5" a="1"/>
  <c r="B8" i="5"/>
  <c r="B10" i="5" a="1"/>
  <c r="B10" i="5"/>
  <c r="B11" i="5" a="1"/>
  <c r="B11" i="5"/>
  <c r="B14" i="5" a="1"/>
  <c r="B14" i="5"/>
  <c r="B16" i="5" a="1"/>
  <c r="B16" i="5"/>
  <c r="B12" i="4"/>
  <c r="B2" i="5" a="1"/>
  <c r="B2" i="5"/>
  <c r="D17" i="5"/>
  <c r="D18" i="5"/>
  <c r="B17" i="5"/>
  <c r="B18" i="5"/>
  <c r="P12" i="2"/>
  <c r="C16" i="5" s="1" a="1"/>
  <c r="C16" i="5" s="1"/>
  <c r="C17" i="5" s="1"/>
  <c r="C18" i="5" s="1"/>
</calcChain>
</file>

<file path=xl/sharedStrings.xml><?xml version="1.0" encoding="utf-8"?>
<sst xmlns="http://schemas.openxmlformats.org/spreadsheetml/2006/main" count="101" uniqueCount="32">
  <si>
    <t>Week 0&amp;1</t>
    <phoneticPr fontId="1" type="noConversion"/>
  </si>
  <si>
    <t>Week 2</t>
    <phoneticPr fontId="1" type="noConversion"/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</si>
  <si>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</si>
  <si>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</si>
  <si>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</si>
  <si>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</si>
  <si>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</si>
  <si>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</si>
  <si>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</si>
  <si>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</si>
  <si>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</si>
  <si>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</si>
  <si>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</si>
  <si>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</si>
  <si>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</si>
  <si>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Team meetings</t>
    <phoneticPr fontId="1" type="noConversion"/>
  </si>
  <si>
    <t>Client meetings</t>
    <phoneticPr fontId="1" type="noConversion"/>
  </si>
  <si>
    <t>Advisor meetings*</t>
    <phoneticPr fontId="1" type="noConversion"/>
  </si>
  <si>
    <t>Course Lead Zoom meetings</t>
    <phoneticPr fontId="1" type="noConversion"/>
  </si>
  <si>
    <t>Research</t>
    <phoneticPr fontId="1" type="noConversion"/>
  </si>
  <si>
    <t>Development</t>
    <phoneticPr fontId="1" type="noConversion"/>
  </si>
  <si>
    <t>Testing</t>
    <phoneticPr fontId="1" type="noConversion"/>
  </si>
  <si>
    <t>Documentation</t>
    <phoneticPr fontId="1" type="noConversion"/>
  </si>
  <si>
    <t>Sick leave</t>
    <phoneticPr fontId="1" type="noConversion"/>
  </si>
  <si>
    <t>Other</t>
    <phoneticPr fontId="1" type="noConversion"/>
  </si>
  <si>
    <t>Total Hours for this week</t>
    <phoneticPr fontId="1" type="noConversion"/>
  </si>
  <si>
    <t xml:space="preserve"> </t>
    <phoneticPr fontId="1" type="noConversion"/>
  </si>
  <si>
    <t>Frances</t>
    <phoneticPr fontId="1" type="noConversion"/>
  </si>
  <si>
    <t>Amarsh</t>
    <phoneticPr fontId="1" type="noConversion"/>
  </si>
  <si>
    <t>Bowang</t>
    <phoneticPr fontId="1" type="noConversion"/>
  </si>
  <si>
    <t>Total</t>
    <phoneticPr fontId="1" type="noConversion"/>
  </si>
  <si>
    <t>to 450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</si>
</sst>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name val="宋体"/>
      <charset val="134"/>
    </font>
    <font>
      <sz val="9"/>
      <name val="宋体"/>
    </font>
    <font>
      <sz val="12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b/>
      <sz val="12"/>
      <color theme="1" tint="0.14999847407452621"/>
      <name val="Times New Roman"/>
      <family val="1"/>
    </font>
    <font>
      <b/>
      <sz val="14"/>
      <color theme="1" tint="0.14999847407452621"/>
      <name val="Times New Roman"/>
      <family val="1"/>
    </font>
    <font>
      <sz val="11"/>
      <name val="Times New Roman"/>
      <family val="1"/>
      <charset val="1"/>
    </font>
    <font>
      <sz val="12"/>
      <color rgb="FF000000"/>
      <name val="Times New Roman"/>
      <charset val="1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3" borderId="0" xfId="0" applyFont="1" applyFill="1">
      <alignment vertical="center"/>
    </xf>
    <xf numFmtId="0" fontId="4" fillId="0" borderId="0" xfId="0" applyFont="1">
      <alignment vertical="center"/>
    </xf>
    <xf numFmtId="0" fontId="3" fillId="2" borderId="0" xfId="0" applyFont="1" applyFill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DC1CE-1818-4AC3-B423-38148A0B9136}">
  <dimension ref="A1:P16"/>
  <sheetViews>
    <sheetView tabSelected="1" zoomScale="110" zoomScaleNormal="110" workbookViewId="0">
      <selection activeCell="P18" sqref="P18"/>
    </sheetView>
  </sheetViews>
  <sheetFormatPr defaultColWidth="8.625" defaultRowHeight="15.75"/>
  <cols>
    <col min="1" max="1" width="26.375" style="2" customWidth="1"/>
    <col min="2" max="2" width="10" style="1" customWidth="1"/>
    <col min="3" max="16384" width="8.625" style="1"/>
  </cols>
  <sheetData>
    <row r="1" spans="1:16" s="8" customFormat="1"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</row>
    <row r="2" spans="1:16">
      <c r="A2" s="2" t="s">
        <v>15</v>
      </c>
      <c r="B2" s="1">
        <v>1.5</v>
      </c>
      <c r="C2" s="1">
        <v>2</v>
      </c>
      <c r="D2" s="1">
        <v>4</v>
      </c>
      <c r="E2" s="1">
        <v>4</v>
      </c>
      <c r="F2" s="1">
        <v>2.5</v>
      </c>
      <c r="G2" s="1">
        <v>4</v>
      </c>
      <c r="H2" s="1">
        <v>2</v>
      </c>
      <c r="I2" s="1">
        <v>1.5</v>
      </c>
      <c r="J2" s="1">
        <v>3</v>
      </c>
      <c r="K2" s="1">
        <v>1.5</v>
      </c>
      <c r="L2" s="1">
        <v>1.75</v>
      </c>
      <c r="M2" s="1">
        <v>3</v>
      </c>
      <c r="N2" s="1">
        <v>2.5</v>
      </c>
      <c r="O2" s="1">
        <v>2</v>
      </c>
      <c r="P2" s="1">
        <v>1</v>
      </c>
    </row>
    <row r="3" spans="1:16">
      <c r="A3" s="2" t="s">
        <v>16</v>
      </c>
      <c r="B3" s="1">
        <v>1</v>
      </c>
      <c r="C3" s="1">
        <v>1</v>
      </c>
      <c r="D3" s="1">
        <v>0</v>
      </c>
      <c r="E3" s="1">
        <v>2</v>
      </c>
      <c r="F3" s="1">
        <v>1</v>
      </c>
      <c r="G3" s="1">
        <v>0</v>
      </c>
      <c r="H3" s="1">
        <v>1</v>
      </c>
      <c r="I3" s="1">
        <v>0</v>
      </c>
      <c r="J3" s="1">
        <v>0</v>
      </c>
      <c r="K3" s="1">
        <v>0</v>
      </c>
      <c r="L3" s="1">
        <v>0</v>
      </c>
      <c r="M3" s="1">
        <v>0.5</v>
      </c>
      <c r="N3" s="1">
        <v>0</v>
      </c>
      <c r="O3" s="1">
        <v>1</v>
      </c>
      <c r="P3" s="1">
        <v>1</v>
      </c>
    </row>
    <row r="4" spans="1:16">
      <c r="A4" s="2" t="s">
        <v>17</v>
      </c>
      <c r="B4" s="1">
        <v>1.5</v>
      </c>
      <c r="C4" s="1">
        <v>2</v>
      </c>
      <c r="D4" s="1">
        <v>2</v>
      </c>
      <c r="E4" s="1">
        <v>1.5</v>
      </c>
      <c r="F4" s="1">
        <v>1.5</v>
      </c>
      <c r="G4" s="1">
        <v>1.5</v>
      </c>
      <c r="H4" s="1">
        <v>1.5</v>
      </c>
      <c r="I4" s="1">
        <v>0</v>
      </c>
      <c r="J4" s="1">
        <v>1</v>
      </c>
      <c r="K4" s="1">
        <v>0</v>
      </c>
      <c r="L4" s="1">
        <v>1</v>
      </c>
      <c r="M4" s="1">
        <v>0</v>
      </c>
      <c r="N4" s="1">
        <v>1</v>
      </c>
      <c r="O4" s="1">
        <v>2</v>
      </c>
      <c r="P4" s="1">
        <v>1</v>
      </c>
    </row>
    <row r="5" spans="1:16">
      <c r="A5" s="2" t="s">
        <v>18</v>
      </c>
      <c r="B5" s="1">
        <v>2</v>
      </c>
      <c r="C5" s="1">
        <v>1</v>
      </c>
      <c r="D5" s="1">
        <v>0.75</v>
      </c>
      <c r="E5" s="1">
        <v>0.75</v>
      </c>
      <c r="F5" s="1">
        <v>0</v>
      </c>
      <c r="G5" s="1">
        <v>0</v>
      </c>
      <c r="H5" s="1">
        <v>0</v>
      </c>
      <c r="I5" s="1">
        <v>0</v>
      </c>
      <c r="J5" s="1">
        <v>1</v>
      </c>
      <c r="K5" s="1">
        <v>0</v>
      </c>
      <c r="L5" s="1">
        <v>0</v>
      </c>
      <c r="M5" s="1">
        <v>0.5</v>
      </c>
      <c r="N5" s="1">
        <v>0.75</v>
      </c>
      <c r="O5" s="1">
        <v>1</v>
      </c>
      <c r="P5" s="1">
        <v>1.25</v>
      </c>
    </row>
    <row r="6" spans="1:16">
      <c r="A6" s="2" t="s">
        <v>19</v>
      </c>
      <c r="B6" s="1">
        <v>0</v>
      </c>
      <c r="C6" s="1">
        <v>0</v>
      </c>
      <c r="D6" s="1">
        <v>2</v>
      </c>
      <c r="E6" s="1">
        <v>2</v>
      </c>
      <c r="F6" s="1">
        <v>1</v>
      </c>
      <c r="G6" s="1">
        <v>0</v>
      </c>
      <c r="H6" s="1">
        <v>2</v>
      </c>
      <c r="I6" s="1">
        <v>4</v>
      </c>
      <c r="J6" s="1">
        <v>0</v>
      </c>
      <c r="K6" s="1">
        <v>1.5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2" t="s">
        <v>20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>
      <c r="A8" s="2" t="s">
        <v>21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23</v>
      </c>
      <c r="H8" s="1">
        <v>6.5</v>
      </c>
      <c r="I8" s="1">
        <v>18.5</v>
      </c>
      <c r="J8" s="1">
        <v>21</v>
      </c>
      <c r="K8" s="1">
        <v>17.5</v>
      </c>
      <c r="L8" s="1">
        <v>18</v>
      </c>
      <c r="M8" s="1">
        <v>0</v>
      </c>
      <c r="N8" s="1">
        <v>9</v>
      </c>
      <c r="O8" s="1">
        <v>6</v>
      </c>
      <c r="P8" s="1">
        <v>0</v>
      </c>
    </row>
    <row r="9" spans="1:16">
      <c r="A9" s="2" t="s">
        <v>22</v>
      </c>
      <c r="B9" s="4">
        <v>7.5</v>
      </c>
      <c r="C9" s="4">
        <v>15.5</v>
      </c>
      <c r="D9" s="1">
        <v>26.25</v>
      </c>
      <c r="E9" s="9">
        <v>20.75</v>
      </c>
      <c r="F9" s="1">
        <v>7</v>
      </c>
      <c r="G9" s="1">
        <v>9.5</v>
      </c>
      <c r="H9" s="1">
        <v>10</v>
      </c>
      <c r="I9" s="1">
        <v>4.5</v>
      </c>
      <c r="J9" s="1">
        <v>5</v>
      </c>
      <c r="K9" s="1">
        <v>3.5</v>
      </c>
      <c r="L9" s="1">
        <v>5</v>
      </c>
      <c r="M9" s="1">
        <v>24</v>
      </c>
      <c r="N9" s="1">
        <v>12.5</v>
      </c>
      <c r="O9" s="1">
        <v>15</v>
      </c>
      <c r="P9" s="1">
        <v>14</v>
      </c>
    </row>
    <row r="10" spans="1:16">
      <c r="A10" s="2" t="s">
        <v>23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2" t="s">
        <v>24</v>
      </c>
      <c r="B11" s="4">
        <v>1</v>
      </c>
      <c r="C11" s="4">
        <v>2.5</v>
      </c>
      <c r="D11" s="1">
        <v>1.5</v>
      </c>
      <c r="E11" s="1">
        <v>0</v>
      </c>
      <c r="F11" s="1">
        <v>6.5</v>
      </c>
      <c r="G11" s="1">
        <v>3.25</v>
      </c>
      <c r="H11" s="1">
        <v>5.5</v>
      </c>
      <c r="I11" s="1">
        <v>4.5</v>
      </c>
      <c r="J11" s="1">
        <v>1.75</v>
      </c>
      <c r="K11" s="1">
        <v>8</v>
      </c>
      <c r="L11" s="1">
        <v>3.5</v>
      </c>
      <c r="M11" s="1">
        <v>5.5</v>
      </c>
      <c r="N11" s="1">
        <v>5.25</v>
      </c>
      <c r="O11" s="1">
        <v>4.25</v>
      </c>
      <c r="P11" s="9">
        <v>14.25</v>
      </c>
    </row>
    <row r="12" spans="1:16" s="2" customFormat="1">
      <c r="A12" s="3" t="s">
        <v>25</v>
      </c>
      <c r="B12" s="3">
        <f t="shared" ref="B12:P12" si="0">SUM(B2:B11)</f>
        <v>14.5</v>
      </c>
      <c r="C12" s="3">
        <f t="shared" si="0"/>
        <v>24</v>
      </c>
      <c r="D12" s="3">
        <f t="shared" si="0"/>
        <v>36.5</v>
      </c>
      <c r="E12" s="3">
        <f t="shared" si="0"/>
        <v>31</v>
      </c>
      <c r="F12" s="3">
        <f t="shared" si="0"/>
        <v>19.5</v>
      </c>
      <c r="G12" s="3">
        <f t="shared" si="0"/>
        <v>41.25</v>
      </c>
      <c r="H12" s="3">
        <f t="shared" si="0"/>
        <v>28.5</v>
      </c>
      <c r="I12" s="3">
        <f t="shared" si="0"/>
        <v>33</v>
      </c>
      <c r="J12" s="3">
        <f t="shared" si="0"/>
        <v>32.75</v>
      </c>
      <c r="K12" s="3">
        <f t="shared" si="0"/>
        <v>32</v>
      </c>
      <c r="L12" s="3">
        <f t="shared" si="0"/>
        <v>29.25</v>
      </c>
      <c r="M12" s="3">
        <f t="shared" si="0"/>
        <v>33.5</v>
      </c>
      <c r="N12" s="3">
        <f t="shared" si="0"/>
        <v>31</v>
      </c>
      <c r="O12" s="3">
        <f t="shared" si="0"/>
        <v>31.25</v>
      </c>
      <c r="P12" s="3">
        <f t="shared" si="0"/>
        <v>32.5</v>
      </c>
    </row>
    <row r="16" spans="1:16">
      <c r="G16" s="1" t="s">
        <v>26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223E3-9545-4EE5-BF9C-4E5B709F9B08}">
  <dimension ref="A1:P16"/>
  <sheetViews>
    <sheetView zoomScale="110" zoomScaleNormal="110" zoomScaleSheetLayoutView="100" workbookViewId="0">
      <selection activeCell="R11" sqref="R11"/>
    </sheetView>
  </sheetViews>
  <sheetFormatPr defaultColWidth="8.625" defaultRowHeight="15.75"/>
  <cols>
    <col min="1" max="1" width="26.375" style="2" customWidth="1"/>
    <col min="2" max="2" width="10" style="1" customWidth="1"/>
    <col min="3" max="16384" width="8.625" style="1"/>
  </cols>
  <sheetData>
    <row r="1" spans="1:16" s="8" customFormat="1"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</row>
    <row r="2" spans="1:16">
      <c r="A2" s="2" t="s">
        <v>15</v>
      </c>
      <c r="B2" s="1">
        <v>1.5</v>
      </c>
      <c r="C2" s="1">
        <v>1</v>
      </c>
      <c r="D2" s="1">
        <v>2</v>
      </c>
      <c r="E2" s="1">
        <v>3</v>
      </c>
      <c r="F2" s="1">
        <v>2.5</v>
      </c>
      <c r="G2" s="1">
        <v>4</v>
      </c>
      <c r="H2" s="1">
        <v>2</v>
      </c>
      <c r="I2" s="1">
        <v>1.5</v>
      </c>
      <c r="J2" s="1">
        <v>3</v>
      </c>
      <c r="K2" s="1">
        <v>1.5</v>
      </c>
      <c r="L2" s="1">
        <v>1</v>
      </c>
      <c r="M2" s="1">
        <v>3</v>
      </c>
      <c r="N2" s="1">
        <v>2.5</v>
      </c>
      <c r="O2" s="1">
        <v>2</v>
      </c>
      <c r="P2" s="1">
        <v>1</v>
      </c>
    </row>
    <row r="3" spans="1:16">
      <c r="A3" s="2" t="s">
        <v>16</v>
      </c>
      <c r="B3" s="1">
        <v>1</v>
      </c>
      <c r="C3" s="1">
        <v>0</v>
      </c>
      <c r="D3" s="1">
        <v>0</v>
      </c>
      <c r="E3" s="1">
        <v>2</v>
      </c>
      <c r="F3" s="1">
        <v>1</v>
      </c>
      <c r="G3" s="1">
        <v>0</v>
      </c>
      <c r="H3" s="1">
        <v>1</v>
      </c>
      <c r="I3" s="1">
        <v>0</v>
      </c>
      <c r="J3" s="1">
        <v>0</v>
      </c>
      <c r="K3" s="1">
        <v>0</v>
      </c>
      <c r="L3" s="1">
        <v>0</v>
      </c>
      <c r="M3" s="1">
        <v>0.5</v>
      </c>
      <c r="N3" s="1">
        <v>0</v>
      </c>
      <c r="O3" s="1">
        <v>1</v>
      </c>
      <c r="P3" s="1">
        <v>1</v>
      </c>
    </row>
    <row r="4" spans="1:16">
      <c r="A4" s="2" t="s">
        <v>17</v>
      </c>
      <c r="B4" s="1">
        <v>1</v>
      </c>
      <c r="C4" s="1">
        <v>2</v>
      </c>
      <c r="D4" s="1">
        <v>2</v>
      </c>
      <c r="E4" s="1">
        <v>1.5</v>
      </c>
      <c r="F4" s="1">
        <v>1.5</v>
      </c>
      <c r="G4" s="1">
        <v>1.5</v>
      </c>
      <c r="H4" s="1">
        <v>1.5</v>
      </c>
      <c r="I4" s="1">
        <v>0</v>
      </c>
      <c r="J4" s="1">
        <v>1</v>
      </c>
      <c r="K4" s="1">
        <v>0</v>
      </c>
      <c r="L4" s="1">
        <v>1</v>
      </c>
      <c r="M4" s="1">
        <v>0</v>
      </c>
      <c r="N4" s="1">
        <v>1</v>
      </c>
      <c r="O4" s="1">
        <v>2</v>
      </c>
      <c r="P4" s="1">
        <v>1</v>
      </c>
    </row>
    <row r="5" spans="1:16">
      <c r="A5" s="2" t="s">
        <v>18</v>
      </c>
      <c r="B5" s="1">
        <v>1</v>
      </c>
      <c r="C5" s="1">
        <v>1</v>
      </c>
      <c r="D5" s="1">
        <v>0.75</v>
      </c>
      <c r="E5" s="1">
        <v>0.75</v>
      </c>
      <c r="F5" s="1">
        <v>0</v>
      </c>
      <c r="G5" s="1">
        <v>0</v>
      </c>
      <c r="H5" s="1">
        <v>0</v>
      </c>
      <c r="I5" s="1">
        <v>0</v>
      </c>
      <c r="J5" s="1">
        <v>1</v>
      </c>
      <c r="K5" s="1">
        <v>0</v>
      </c>
      <c r="L5" s="1">
        <v>0</v>
      </c>
      <c r="M5" s="1">
        <v>0.5</v>
      </c>
      <c r="N5" s="1">
        <v>0.75</v>
      </c>
      <c r="O5" s="1">
        <v>1</v>
      </c>
      <c r="P5" s="1">
        <v>1.25</v>
      </c>
    </row>
    <row r="6" spans="1:16">
      <c r="A6" s="2" t="s">
        <v>19</v>
      </c>
      <c r="B6" s="1">
        <v>0</v>
      </c>
      <c r="C6" s="1">
        <v>0</v>
      </c>
      <c r="D6" s="1">
        <v>8.5</v>
      </c>
      <c r="E6" s="1">
        <v>5.75</v>
      </c>
      <c r="F6" s="1">
        <v>4.5</v>
      </c>
      <c r="G6" s="1">
        <v>1</v>
      </c>
      <c r="H6" s="1">
        <v>0</v>
      </c>
      <c r="I6" s="1">
        <v>3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2" t="s">
        <v>20</v>
      </c>
      <c r="B7" s="1">
        <v>0</v>
      </c>
      <c r="C7" s="1">
        <v>0</v>
      </c>
      <c r="E7" s="1">
        <v>3.5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>
      <c r="A8" s="2" t="s">
        <v>21</v>
      </c>
      <c r="B8" s="1">
        <v>0</v>
      </c>
      <c r="C8" s="1">
        <v>0</v>
      </c>
      <c r="E8" s="1">
        <v>0</v>
      </c>
      <c r="F8" s="1">
        <v>21.5</v>
      </c>
      <c r="G8" s="1">
        <v>27</v>
      </c>
      <c r="H8" s="1">
        <v>18.5</v>
      </c>
      <c r="I8" s="1">
        <v>14.5</v>
      </c>
      <c r="J8" s="1">
        <v>28.75</v>
      </c>
      <c r="K8" s="1">
        <v>19.5</v>
      </c>
      <c r="L8" s="1">
        <v>26.5</v>
      </c>
      <c r="M8" s="1">
        <v>19.25</v>
      </c>
      <c r="N8" s="1">
        <v>25.5</v>
      </c>
      <c r="O8" s="1">
        <v>17.5</v>
      </c>
      <c r="P8" s="1">
        <v>14.5</v>
      </c>
    </row>
    <row r="9" spans="1:16">
      <c r="A9" s="2" t="s">
        <v>22</v>
      </c>
      <c r="B9" s="4">
        <v>0</v>
      </c>
      <c r="C9" s="4">
        <v>1</v>
      </c>
      <c r="D9" s="1">
        <v>1</v>
      </c>
      <c r="E9" s="1">
        <v>3</v>
      </c>
      <c r="F9" s="1">
        <v>1.5</v>
      </c>
      <c r="G9" s="10">
        <v>1</v>
      </c>
      <c r="H9" s="1">
        <v>1</v>
      </c>
      <c r="I9" s="1">
        <v>1</v>
      </c>
      <c r="J9" s="1">
        <v>1</v>
      </c>
      <c r="K9" s="1">
        <v>3.75</v>
      </c>
      <c r="L9" s="1">
        <v>1</v>
      </c>
      <c r="M9" s="1">
        <v>3.5</v>
      </c>
      <c r="N9" s="1">
        <v>1</v>
      </c>
      <c r="O9" s="1">
        <v>1</v>
      </c>
      <c r="P9" s="1">
        <v>11.5</v>
      </c>
    </row>
    <row r="10" spans="1:16">
      <c r="A10" s="2" t="s">
        <v>23</v>
      </c>
      <c r="B10" s="1">
        <v>0</v>
      </c>
      <c r="C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2" t="s">
        <v>24</v>
      </c>
      <c r="B11" s="4">
        <v>0.5</v>
      </c>
      <c r="C11" s="4">
        <v>0</v>
      </c>
      <c r="D11" s="1">
        <v>10.5</v>
      </c>
      <c r="E11" s="1">
        <v>5.75</v>
      </c>
      <c r="F11" s="1">
        <v>1.75</v>
      </c>
      <c r="G11" s="1">
        <v>0</v>
      </c>
      <c r="H11" s="1">
        <v>1.5</v>
      </c>
      <c r="I11" s="1">
        <v>0</v>
      </c>
      <c r="J11" s="1">
        <v>0.5</v>
      </c>
      <c r="K11" s="1">
        <v>8.5</v>
      </c>
      <c r="L11" s="1">
        <v>1.5</v>
      </c>
      <c r="M11" s="1">
        <v>4.75</v>
      </c>
      <c r="N11" s="1">
        <v>1</v>
      </c>
      <c r="O11" s="1">
        <v>11.5</v>
      </c>
      <c r="P11" s="1">
        <v>10.5</v>
      </c>
    </row>
    <row r="12" spans="1:16" s="2" customFormat="1">
      <c r="A12" s="3" t="s">
        <v>25</v>
      </c>
      <c r="B12" s="3">
        <f t="shared" ref="B12:O12" si="0">SUM(B2:B11)</f>
        <v>5</v>
      </c>
      <c r="C12" s="3">
        <f t="shared" si="0"/>
        <v>5</v>
      </c>
      <c r="D12" s="3">
        <f t="shared" si="0"/>
        <v>24.75</v>
      </c>
      <c r="E12" s="3">
        <f t="shared" si="0"/>
        <v>25.25</v>
      </c>
      <c r="F12" s="3">
        <f t="shared" si="0"/>
        <v>34.25</v>
      </c>
      <c r="G12" s="3">
        <f t="shared" si="0"/>
        <v>34.5</v>
      </c>
      <c r="H12" s="3">
        <f t="shared" si="0"/>
        <v>25.5</v>
      </c>
      <c r="I12" s="3">
        <f t="shared" si="0"/>
        <v>20</v>
      </c>
      <c r="J12" s="3">
        <f t="shared" si="0"/>
        <v>35.25</v>
      </c>
      <c r="K12" s="3">
        <f t="shared" si="0"/>
        <v>33.25</v>
      </c>
      <c r="L12" s="3">
        <f t="shared" si="0"/>
        <v>31</v>
      </c>
      <c r="M12" s="3">
        <f t="shared" si="0"/>
        <v>31.5</v>
      </c>
      <c r="N12" s="3">
        <f t="shared" si="0"/>
        <v>31.75</v>
      </c>
      <c r="O12" s="3">
        <f t="shared" si="0"/>
        <v>36</v>
      </c>
      <c r="P12" s="3">
        <f>SUM(P2:P11)</f>
        <v>40.75</v>
      </c>
    </row>
    <row r="16" spans="1:16">
      <c r="G16" s="1" t="s">
        <v>26</v>
      </c>
    </row>
  </sheetData>
  <phoneticPr fontId="1" type="noConversion"/>
  <pageMargins left="0.75" right="0.75" top="1" bottom="1" header="0.51180555555555551" footer="0.51180555555555551"/>
  <pageSetup paperSize="9" orientation="portrait" horizontalDpi="0" verticalDpi="0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206E6-585A-4529-801F-CB42F7D63F7C}">
  <dimension ref="A1:P16"/>
  <sheetViews>
    <sheetView topLeftCell="E1" zoomScale="110" zoomScaleNormal="110" zoomScaleSheetLayoutView="100" workbookViewId="0">
      <selection activeCell="O16" sqref="O16"/>
    </sheetView>
  </sheetViews>
  <sheetFormatPr defaultColWidth="8.625" defaultRowHeight="15.75"/>
  <cols>
    <col min="1" max="1" width="26.375" style="2" customWidth="1"/>
    <col min="2" max="2" width="10" style="1" customWidth="1"/>
    <col min="3" max="16384" width="8.625" style="1"/>
  </cols>
  <sheetData>
    <row r="1" spans="1:16" s="8" customFormat="1"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</row>
    <row r="2" spans="1:16">
      <c r="A2" s="2" t="s">
        <v>15</v>
      </c>
      <c r="B2" s="1">
        <v>1.5</v>
      </c>
      <c r="C2" s="1">
        <v>2</v>
      </c>
      <c r="D2" s="1">
        <v>4</v>
      </c>
      <c r="E2" s="1">
        <v>4</v>
      </c>
      <c r="F2" s="1">
        <v>2.5</v>
      </c>
      <c r="G2" s="1">
        <v>4</v>
      </c>
      <c r="H2" s="1">
        <v>2</v>
      </c>
      <c r="I2" s="1">
        <v>1.5</v>
      </c>
      <c r="J2" s="1">
        <v>3</v>
      </c>
      <c r="K2" s="1">
        <v>1.5</v>
      </c>
      <c r="L2" s="1">
        <v>1.75</v>
      </c>
      <c r="M2" s="1">
        <v>3</v>
      </c>
      <c r="N2" s="1">
        <v>2.5</v>
      </c>
      <c r="O2" s="1">
        <v>2</v>
      </c>
      <c r="P2" s="1">
        <v>1</v>
      </c>
    </row>
    <row r="3" spans="1:16">
      <c r="A3" s="2" t="s">
        <v>16</v>
      </c>
      <c r="B3" s="1">
        <v>1</v>
      </c>
      <c r="C3" s="1">
        <v>1</v>
      </c>
      <c r="E3" s="1">
        <v>2</v>
      </c>
      <c r="F3" s="1">
        <v>1</v>
      </c>
      <c r="G3" s="1">
        <v>0</v>
      </c>
      <c r="H3" s="1">
        <v>1</v>
      </c>
      <c r="J3" s="1">
        <v>0</v>
      </c>
      <c r="K3" s="1">
        <v>0</v>
      </c>
      <c r="L3" s="1">
        <v>0</v>
      </c>
      <c r="M3" s="1">
        <v>0.5</v>
      </c>
      <c r="N3" s="1">
        <v>0</v>
      </c>
      <c r="O3" s="1">
        <v>1</v>
      </c>
      <c r="P3" s="1">
        <v>1</v>
      </c>
    </row>
    <row r="4" spans="1:16">
      <c r="A4" s="2" t="s">
        <v>17</v>
      </c>
      <c r="B4" s="1">
        <v>1</v>
      </c>
      <c r="C4" s="1">
        <v>1</v>
      </c>
      <c r="D4" s="1">
        <v>2</v>
      </c>
      <c r="E4" s="1">
        <v>1.5</v>
      </c>
      <c r="F4" s="1">
        <v>1.5</v>
      </c>
      <c r="G4" s="1">
        <v>1.5</v>
      </c>
      <c r="H4" s="1">
        <v>1.5</v>
      </c>
      <c r="J4" s="1">
        <v>1</v>
      </c>
      <c r="K4" s="1">
        <v>0</v>
      </c>
      <c r="L4" s="1">
        <v>1</v>
      </c>
      <c r="M4" s="1">
        <v>0</v>
      </c>
      <c r="N4" s="1">
        <v>1</v>
      </c>
      <c r="O4" s="1">
        <v>2</v>
      </c>
      <c r="P4" s="1">
        <v>1</v>
      </c>
    </row>
    <row r="5" spans="1:16">
      <c r="A5" s="2" t="s">
        <v>18</v>
      </c>
      <c r="B5" s="1">
        <v>2</v>
      </c>
      <c r="C5" s="1">
        <v>1</v>
      </c>
      <c r="D5" s="1">
        <v>0.75</v>
      </c>
      <c r="E5" s="1">
        <v>0.75</v>
      </c>
      <c r="F5" s="1">
        <v>0</v>
      </c>
      <c r="J5" s="1">
        <v>1</v>
      </c>
      <c r="K5" s="1">
        <v>0</v>
      </c>
      <c r="L5" s="1">
        <v>0</v>
      </c>
      <c r="M5" s="1">
        <v>0.5</v>
      </c>
      <c r="N5" s="1">
        <v>0.75</v>
      </c>
      <c r="O5" s="1">
        <v>1</v>
      </c>
      <c r="P5" s="1">
        <v>1.25</v>
      </c>
    </row>
    <row r="6" spans="1:16">
      <c r="A6" s="2" t="s">
        <v>19</v>
      </c>
      <c r="B6" s="1">
        <v>18</v>
      </c>
      <c r="C6" s="1">
        <v>5</v>
      </c>
      <c r="D6" s="1">
        <v>3.5</v>
      </c>
      <c r="F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2" t="s">
        <v>20</v>
      </c>
      <c r="B7" s="1">
        <v>0</v>
      </c>
      <c r="C7" s="1">
        <v>0</v>
      </c>
      <c r="E7" s="1">
        <v>6.5</v>
      </c>
      <c r="F7" s="1">
        <v>30.75</v>
      </c>
      <c r="G7" s="1">
        <v>23.5</v>
      </c>
      <c r="H7" s="1">
        <v>19.5</v>
      </c>
      <c r="I7" s="1">
        <v>38</v>
      </c>
      <c r="J7" s="1">
        <v>15.5</v>
      </c>
      <c r="K7" s="1">
        <v>30.5</v>
      </c>
      <c r="L7" s="1">
        <v>22</v>
      </c>
      <c r="M7" s="1">
        <v>30.5</v>
      </c>
      <c r="N7" s="1">
        <v>20</v>
      </c>
      <c r="O7" s="1">
        <v>3</v>
      </c>
      <c r="P7" s="1">
        <v>0</v>
      </c>
    </row>
    <row r="8" spans="1:16">
      <c r="A8" s="2" t="s">
        <v>21</v>
      </c>
      <c r="B8" s="1">
        <v>0</v>
      </c>
      <c r="C8" s="1">
        <v>0</v>
      </c>
      <c r="F8" s="1">
        <v>0</v>
      </c>
      <c r="G8" s="1">
        <v>5.5</v>
      </c>
      <c r="H8" s="1">
        <v>3</v>
      </c>
      <c r="I8" s="1">
        <v>3</v>
      </c>
      <c r="J8" s="1">
        <v>0.5</v>
      </c>
      <c r="K8" s="1">
        <v>0.5</v>
      </c>
      <c r="L8" s="1">
        <v>0.5</v>
      </c>
      <c r="M8" s="1">
        <v>0</v>
      </c>
      <c r="N8" s="1">
        <v>0</v>
      </c>
      <c r="O8" s="1">
        <v>2</v>
      </c>
      <c r="P8" s="1">
        <v>0</v>
      </c>
    </row>
    <row r="9" spans="1:16">
      <c r="A9" s="2" t="s">
        <v>22</v>
      </c>
      <c r="B9" s="4">
        <v>2</v>
      </c>
      <c r="C9" s="4">
        <v>1</v>
      </c>
      <c r="D9" s="1">
        <v>0.5</v>
      </c>
      <c r="E9" s="1">
        <v>1.5</v>
      </c>
      <c r="F9" s="1">
        <v>0.5</v>
      </c>
      <c r="G9" s="1">
        <v>0.5</v>
      </c>
      <c r="H9" s="1">
        <v>0.5</v>
      </c>
      <c r="I9" s="1">
        <v>0.5</v>
      </c>
      <c r="J9" s="1">
        <v>1</v>
      </c>
      <c r="K9" s="1">
        <v>0.5</v>
      </c>
      <c r="L9" s="1">
        <v>0.5</v>
      </c>
      <c r="M9" s="1">
        <v>4.5</v>
      </c>
      <c r="N9" s="1">
        <v>6.5</v>
      </c>
      <c r="O9" s="1">
        <v>11</v>
      </c>
      <c r="P9" s="1">
        <v>8.5</v>
      </c>
    </row>
    <row r="10" spans="1:16">
      <c r="A10" s="2" t="s">
        <v>23</v>
      </c>
      <c r="B10" s="1">
        <v>0</v>
      </c>
      <c r="C10" s="1">
        <v>0</v>
      </c>
      <c r="F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2" t="s">
        <v>24</v>
      </c>
      <c r="B11" s="4">
        <v>1</v>
      </c>
      <c r="C11" s="4">
        <v>1.5</v>
      </c>
      <c r="D11" s="1">
        <v>13</v>
      </c>
      <c r="E11" s="1">
        <v>32.5</v>
      </c>
      <c r="F11" s="1">
        <v>1</v>
      </c>
      <c r="K11" s="1">
        <v>2</v>
      </c>
      <c r="L11" s="1">
        <v>2</v>
      </c>
      <c r="M11" s="1">
        <v>2</v>
      </c>
      <c r="N11" s="1">
        <v>1</v>
      </c>
      <c r="O11" s="1">
        <v>0.5</v>
      </c>
      <c r="P11" s="1">
        <v>7</v>
      </c>
    </row>
    <row r="12" spans="1:16" s="2" customFormat="1">
      <c r="A12" s="3" t="s">
        <v>25</v>
      </c>
      <c r="B12" s="3">
        <f t="shared" ref="B12:P12" si="0">SUM(B2:B11)</f>
        <v>26.5</v>
      </c>
      <c r="C12" s="3">
        <f t="shared" si="0"/>
        <v>12.5</v>
      </c>
      <c r="D12" s="3">
        <f t="shared" si="0"/>
        <v>23.75</v>
      </c>
      <c r="E12" s="3">
        <f t="shared" si="0"/>
        <v>48.75</v>
      </c>
      <c r="F12" s="3">
        <f t="shared" si="0"/>
        <v>37.25</v>
      </c>
      <c r="G12" s="3">
        <f t="shared" si="0"/>
        <v>35</v>
      </c>
      <c r="H12" s="3">
        <f t="shared" si="0"/>
        <v>27.5</v>
      </c>
      <c r="I12" s="3">
        <f t="shared" si="0"/>
        <v>43</v>
      </c>
      <c r="J12" s="3">
        <f t="shared" si="0"/>
        <v>22</v>
      </c>
      <c r="K12" s="3">
        <f t="shared" si="0"/>
        <v>35</v>
      </c>
      <c r="L12" s="3">
        <f t="shared" si="0"/>
        <v>27.75</v>
      </c>
      <c r="M12" s="3">
        <f t="shared" si="0"/>
        <v>41</v>
      </c>
      <c r="N12" s="3">
        <f t="shared" si="0"/>
        <v>31.75</v>
      </c>
      <c r="O12" s="3">
        <f t="shared" si="0"/>
        <v>22.5</v>
      </c>
      <c r="P12" s="3">
        <f t="shared" si="0"/>
        <v>19.75</v>
      </c>
    </row>
    <row r="16" spans="1:16">
      <c r="G16" s="1" t="s">
        <v>26</v>
      </c>
    </row>
  </sheetData>
  <phoneticPr fontId="1" type="noConversion"/>
  <pageMargins left="0.75" right="0.75" top="1" bottom="1" header="0.51180555555555551" footer="0.51180555555555551"/>
  <pageSetup paperSize="9" orientation="portrait" horizontalDpi="0" verticalDpi="0"/>
  <headerFooter scaleWithDoc="0"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39EB4-80FA-44A7-ADB1-A0E7E88FE9AC}">
  <dimension ref="A1:D18"/>
  <sheetViews>
    <sheetView zoomScale="120" zoomScaleNormal="120" workbookViewId="0">
      <selection activeCell="E22" sqref="E22"/>
    </sheetView>
  </sheetViews>
  <sheetFormatPr defaultColWidth="8.625" defaultRowHeight="15.75"/>
  <cols>
    <col min="1" max="1" width="11.125" style="2" customWidth="1"/>
    <col min="2" max="2" width="12.125" style="1" customWidth="1"/>
    <col min="3" max="3" width="11" style="1" customWidth="1"/>
    <col min="4" max="4" width="11.375" style="1" customWidth="1"/>
    <col min="5" max="5" width="17.375" style="1" customWidth="1"/>
    <col min="6" max="16384" width="8.625" style="1"/>
  </cols>
  <sheetData>
    <row r="1" spans="1:4" s="7" customFormat="1" ht="18.75">
      <c r="B1" s="7" t="s">
        <v>27</v>
      </c>
      <c r="C1" s="7" t="s">
        <v>28</v>
      </c>
      <c r="D1" s="7" t="s">
        <v>29</v>
      </c>
    </row>
    <row r="2" spans="1:4">
      <c r="A2" s="6" t="s">
        <v>0</v>
      </c>
      <c r="B2" s="1">
        <f t="array" ref="B2">INDEX(Frances!$B$12:$X$12, ROW(A1))</f>
        <v>14.5</v>
      </c>
      <c r="C2" s="1">
        <f t="array" ref="C2">INDEX(Amarsh!$B$12:$Z$12, ROW(A1))</f>
        <v>5</v>
      </c>
      <c r="D2" s="1">
        <f t="array" ref="D2">INDEX(Bowang!$B$12:$Z$12, ROW(A1))</f>
        <v>26.5</v>
      </c>
    </row>
    <row r="3" spans="1:4">
      <c r="A3" s="6" t="s">
        <v>1</v>
      </c>
      <c r="B3" s="1">
        <f t="array" ref="B3">INDEX(Frances!$B$12:$X$12, ROW(A2))</f>
        <v>24</v>
      </c>
      <c r="C3" s="1">
        <f t="array" ref="C3">INDEX(Amarsh!$B$12:$Z$12, ROW(A2))</f>
        <v>5</v>
      </c>
      <c r="D3" s="1">
        <f t="array" ref="D3">INDEX(Bowang!$B$12:$Z$12, ROW(A2))</f>
        <v>12.5</v>
      </c>
    </row>
    <row r="4" spans="1:4">
      <c r="A4" s="6" t="s">
        <v>2</v>
      </c>
      <c r="B4" s="1">
        <f t="array" ref="B4">INDEX(Frances!$B$12:$X$12, ROW(A3))</f>
        <v>36.5</v>
      </c>
      <c r="C4" s="1">
        <f t="array" ref="C4">INDEX(Amarsh!$B$12:$Z$12, ROW(A3))</f>
        <v>24.75</v>
      </c>
      <c r="D4" s="1">
        <f t="array" ref="D4">INDEX(Bowang!$B$12:$Z$12, ROW(A3))</f>
        <v>23.75</v>
      </c>
    </row>
    <row r="5" spans="1:4">
      <c r="A5" s="6" t="s">
        <v>3</v>
      </c>
      <c r="B5" s="1">
        <f t="array" ref="B5">INDEX(Frances!$B$12:$X$12, ROW(A4))</f>
        <v>31</v>
      </c>
      <c r="C5" s="1">
        <v>25.25</v>
      </c>
      <c r="D5" s="1">
        <f t="array" ref="D5">INDEX(Bowang!$B$12:$Z$12, ROW(A4))</f>
        <v>48.75</v>
      </c>
    </row>
    <row r="6" spans="1:4">
      <c r="A6" s="6" t="s">
        <v>4</v>
      </c>
      <c r="B6" s="1">
        <f t="array" ref="B6">INDEX(Frances!$B$12:$X$12, ROW(A5))</f>
        <v>19.5</v>
      </c>
      <c r="C6" s="1">
        <f t="array" ref="C6">INDEX(Amarsh!$B$12:$Z$12, ROW(A5))</f>
        <v>34.25</v>
      </c>
      <c r="D6" s="1">
        <f t="array" ref="D6">INDEX(Bowang!$B$12:$Z$12, ROW(A5))</f>
        <v>37.25</v>
      </c>
    </row>
    <row r="7" spans="1:4">
      <c r="A7" s="6" t="s">
        <v>5</v>
      </c>
      <c r="B7" s="1">
        <f t="array" ref="B7">INDEX(Frances!$B$12:$X$12, ROW(A6))</f>
        <v>41.25</v>
      </c>
      <c r="C7" s="1">
        <f t="array" ref="C7">INDEX(Amarsh!$B$12:$Z$12, ROW(A6))</f>
        <v>34.5</v>
      </c>
      <c r="D7" s="1">
        <f t="array" ref="D7">INDEX(Bowang!$B$12:$Z$12, ROW(A6))</f>
        <v>35</v>
      </c>
    </row>
    <row r="8" spans="1:4">
      <c r="A8" s="6" t="s">
        <v>6</v>
      </c>
      <c r="B8" s="1">
        <f t="array" ref="B8">INDEX(Frances!$B$12:$X$12, ROW(A7))</f>
        <v>28.5</v>
      </c>
      <c r="C8" s="1">
        <f t="array" ref="C8">INDEX(Amarsh!$B$12:$Z$12, ROW(A7))</f>
        <v>25.5</v>
      </c>
      <c r="D8" s="1">
        <f t="array" ref="D8">INDEX(Bowang!$B$12:$Z$12, ROW(A7))</f>
        <v>27.5</v>
      </c>
    </row>
    <row r="9" spans="1:4">
      <c r="A9" s="6" t="s">
        <v>7</v>
      </c>
      <c r="B9" s="1">
        <f t="array" ref="B9">INDEX(Frances!$B$12:$X$12, ROW(A8))</f>
        <v>33</v>
      </c>
      <c r="C9" s="1">
        <f t="array" ref="C9">INDEX(Amarsh!$B$12:$Z$12, ROW(A8))</f>
        <v>20</v>
      </c>
      <c r="D9" s="1">
        <f t="array" ref="D9">INDEX(Bowang!$B$12:$Z$12, ROW(A8))</f>
        <v>43</v>
      </c>
    </row>
    <row r="10" spans="1:4">
      <c r="A10" s="6" t="s">
        <v>8</v>
      </c>
      <c r="B10" s="1">
        <f t="array" ref="B10">INDEX(Frances!$B$12:$X$12, ROW(A9))</f>
        <v>32.75</v>
      </c>
      <c r="C10" s="1">
        <f t="array" ref="C10">INDEX(Amarsh!$B$12:$Z$12, ROW(A9))</f>
        <v>35.25</v>
      </c>
      <c r="D10" s="1">
        <f t="array" ref="D10">INDEX(Bowang!$B$12:$Z$12, ROW(A9))</f>
        <v>22</v>
      </c>
    </row>
    <row r="11" spans="1:4">
      <c r="A11" s="6" t="s">
        <v>9</v>
      </c>
      <c r="B11" s="1">
        <f t="array" ref="B11">INDEX(Frances!$B$12:$X$12, ROW(A10))</f>
        <v>32</v>
      </c>
      <c r="C11" s="1">
        <f t="array" ref="C11">INDEX(Amarsh!$B$12:$Z$12, ROW(A10))</f>
        <v>33.25</v>
      </c>
      <c r="D11" s="1">
        <f t="array" ref="D11">INDEX(Bowang!$B$12:$Z$12, ROW(A10))</f>
        <v>35</v>
      </c>
    </row>
    <row r="12" spans="1:4">
      <c r="A12" s="6" t="s">
        <v>10</v>
      </c>
      <c r="B12" s="1">
        <f t="array" ref="B12">INDEX(Frances!$B$12:$X$12, ROW(A11))</f>
        <v>29.25</v>
      </c>
      <c r="C12" s="1">
        <f t="array" ref="C12">INDEX(Amarsh!$B$12:$Z$12, ROW(A11))</f>
        <v>31</v>
      </c>
      <c r="D12" s="1">
        <f t="array" ref="D12">INDEX(Bowang!$B$12:$Z$12, ROW(A11))</f>
        <v>27.75</v>
      </c>
    </row>
    <row r="13" spans="1:4">
      <c r="A13" s="6" t="s">
        <v>11</v>
      </c>
      <c r="B13" s="1">
        <f t="array" ref="B13">INDEX(Frances!$B$12:$X$12, ROW(A12))</f>
        <v>33.5</v>
      </c>
      <c r="C13" s="1">
        <f t="array" ref="C13">INDEX(Amarsh!$B$12:$Z$12, ROW(A12))</f>
        <v>31.5</v>
      </c>
      <c r="D13" s="1">
        <f t="array" ref="D13">INDEX(Bowang!$B$12:$Z$12, ROW(A12))</f>
        <v>41</v>
      </c>
    </row>
    <row r="14" spans="1:4">
      <c r="A14" s="6" t="s">
        <v>12</v>
      </c>
      <c r="B14" s="1">
        <f t="array" ref="B14">INDEX(Frances!$B$12:$X$12, ROW(A13))</f>
        <v>31</v>
      </c>
      <c r="C14" s="1">
        <f t="array" ref="C14">INDEX(Amarsh!$B$12:$Z$12, ROW(A13))</f>
        <v>31.75</v>
      </c>
      <c r="D14" s="1">
        <f t="array" ref="D14">INDEX(Bowang!$B$12:$Z$12, ROW(A13))</f>
        <v>31.75</v>
      </c>
    </row>
    <row r="15" spans="1:4">
      <c r="A15" s="6" t="s">
        <v>13</v>
      </c>
      <c r="B15" s="1">
        <f t="array" ref="B15">INDEX(Frances!$B$12:$X$12, ROW(A14))</f>
        <v>31.25</v>
      </c>
      <c r="C15" s="1">
        <f t="array" ref="C15">INDEX(Amarsh!$B$12:$Z$12, ROW(A14))</f>
        <v>36</v>
      </c>
      <c r="D15" s="1">
        <f t="array" ref="D15">INDEX(Bowang!$B$12:$Z$12, ROW(A14))</f>
        <v>22.5</v>
      </c>
    </row>
    <row r="16" spans="1:4">
      <c r="A16" s="6" t="s">
        <v>14</v>
      </c>
      <c r="B16" s="1">
        <f t="array" ref="B16">INDEX(Frances!$B$12:$X$12, ROW(A15))</f>
        <v>32.5</v>
      </c>
      <c r="C16" s="1">
        <f t="array" ref="C16">INDEX(Amarsh!$B$12:$Z$12, ROW(A15))</f>
        <v>40.75</v>
      </c>
      <c r="D16" s="1">
        <f t="array" ref="D16">INDEX(Bowang!$B$12:$Z$12, ROW(A15))</f>
        <v>19.75</v>
      </c>
    </row>
    <row r="17" spans="1:4" s="2" customFormat="1">
      <c r="A17" s="3" t="s">
        <v>30</v>
      </c>
      <c r="B17" s="3">
        <f>SUM(B2:B16)</f>
        <v>450.5</v>
      </c>
      <c r="C17" s="3">
        <f>SUM(C2:C16)</f>
        <v>413.75</v>
      </c>
      <c r="D17" s="3">
        <f>SUM(D2:D16)</f>
        <v>454</v>
      </c>
    </row>
    <row r="18" spans="1:4" s="2" customFormat="1">
      <c r="A18" s="5" t="s">
        <v>31</v>
      </c>
      <c r="B18" s="5">
        <f>B17-450</f>
        <v>0.5</v>
      </c>
      <c r="C18" s="5">
        <f>C17-450</f>
        <v>-36.25</v>
      </c>
      <c r="D18" s="5">
        <f>D17-450</f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Chunguang Liu</cp:lastModifiedBy>
  <cp:revision/>
  <dcterms:created xsi:type="dcterms:W3CDTF">2016-12-02T08:54:00Z</dcterms:created>
  <dcterms:modified xsi:type="dcterms:W3CDTF">2025-10-16T05:34:32Z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116EC7D41D284BC2BB4C888909E44AFE_12</vt:lpwstr>
  </property>
</Properties>
</file>